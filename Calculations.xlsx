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" sheetId="1" r:id="rId4"/>
    <sheet state="visible" name="Wind Land" sheetId="2" r:id="rId5"/>
    <sheet state="visible" name="Wind Fixed Bottom" sheetId="3" r:id="rId6"/>
    <sheet state="visible" name="Wind Floating Bottom" sheetId="4" r:id="rId7"/>
    <sheet state="visible" name="Sheet1" sheetId="5" r:id="rId8"/>
  </sheets>
  <definedNames/>
  <calcPr/>
  <extLst>
    <ext uri="GoogleSheetsCustomDataVersion2">
      <go:sheetsCustomData xmlns:go="http://customooxmlschemas.google.com/" r:id="rId9" roundtripDataChecksum="TK8lb5ICLJzfyCFU1JgS79XDqSN0Jva/808rFJ230dY="/>
    </ext>
  </extLst>
</workbook>
</file>

<file path=xl/sharedStrings.xml><?xml version="1.0" encoding="utf-8"?>
<sst xmlns="http://schemas.openxmlformats.org/spreadsheetml/2006/main" count="128" uniqueCount="39">
  <si>
    <t>Solar Install 2024</t>
  </si>
  <si>
    <t>Solar Operating Cost 2024</t>
  </si>
  <si>
    <t xml:space="preserve">A = </t>
  </si>
  <si>
    <t xml:space="preserve">rate = </t>
  </si>
  <si>
    <t xml:space="preserve">I = </t>
  </si>
  <si>
    <t xml:space="preserve">nper = </t>
  </si>
  <si>
    <t>n =</t>
  </si>
  <si>
    <t>pv =</t>
  </si>
  <si>
    <t>P/A</t>
  </si>
  <si>
    <t>F = P(1+i)^n</t>
  </si>
  <si>
    <t>Solar Install 205</t>
  </si>
  <si>
    <t>Solar Operating Cost 2054</t>
  </si>
  <si>
    <t>Present Worth</t>
  </si>
  <si>
    <t>Cost to Install</t>
  </si>
  <si>
    <t>Cost to Operate</t>
  </si>
  <si>
    <t>Wind Land Install 2024</t>
  </si>
  <si>
    <t>Wind Land Operating Cost 2024</t>
  </si>
  <si>
    <t>Wind Land Install 2054</t>
  </si>
  <si>
    <t>Wind Land Operating Cost 2054</t>
  </si>
  <si>
    <t>Wind Fixed Bottom Install 2024</t>
  </si>
  <si>
    <t>Wind Fixed Bottom Operating Cost 2024</t>
  </si>
  <si>
    <t>Wind Fixed Bottom Install 205</t>
  </si>
  <si>
    <t>Wind Fixed Bottom Operating Cost 2054</t>
  </si>
  <si>
    <t>Wind Floating Bottom Install 2024</t>
  </si>
  <si>
    <t>Wind Floating Bottom Operating Cost 2024</t>
  </si>
  <si>
    <t>Wind Floating Bottom Install 2054</t>
  </si>
  <si>
    <t>Wind Floating Bottom Operating Cost 2054</t>
  </si>
  <si>
    <t>Goal Power</t>
  </si>
  <si>
    <t>MW</t>
  </si>
  <si>
    <t>Percent Solar</t>
  </si>
  <si>
    <t>Percent Wind (Land)</t>
  </si>
  <si>
    <t>Cost of Solar</t>
  </si>
  <si>
    <t>Cost of Wind (Land)</t>
  </si>
  <si>
    <r>
      <rPr>
        <rFont val="Arial"/>
        <b/>
        <color theme="1"/>
        <sz val="11.0"/>
      </rPr>
      <t xml:space="preserve">Total Cost </t>
    </r>
    <r>
      <rPr>
        <rFont val="Arial"/>
        <b val="0"/>
        <color theme="1"/>
        <sz val="11.0"/>
      </rPr>
      <t>(</t>
    </r>
    <r>
      <rPr>
        <rFont val="Arial"/>
        <b/>
        <color theme="1"/>
        <sz val="11.0"/>
      </rPr>
      <t>millions</t>
    </r>
    <r>
      <rPr>
        <rFont val="Arial"/>
        <b val="0"/>
        <color theme="1"/>
        <sz val="11.0"/>
      </rPr>
      <t>)</t>
    </r>
  </si>
  <si>
    <r>
      <rPr>
        <rFont val="Arial"/>
        <b/>
        <color theme="1"/>
        <sz val="11.0"/>
      </rPr>
      <t xml:space="preserve">Total Cost </t>
    </r>
    <r>
      <rPr>
        <rFont val="Arial"/>
        <b val="0"/>
        <color theme="1"/>
        <sz val="11.0"/>
      </rPr>
      <t>(</t>
    </r>
    <r>
      <rPr>
        <rFont val="Arial"/>
        <b/>
        <color theme="1"/>
        <sz val="11.0"/>
      </rPr>
      <t>billions</t>
    </r>
    <r>
      <rPr>
        <rFont val="Arial"/>
        <b val="0"/>
        <color theme="1"/>
        <sz val="11.0"/>
      </rPr>
      <t>)</t>
    </r>
  </si>
  <si>
    <t>Solar</t>
  </si>
  <si>
    <t>Wind (Land)</t>
  </si>
  <si>
    <t>Install Cost</t>
  </si>
  <si>
    <t>Operating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</si>
</sst>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color theme="1"/>
      <name val="Aptos narrow"/>
      <scheme val="minor"/>
    </font>
    <font>
      <b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D0D0"/>
        <bgColor rgb="FFD0D0D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1" fillId="2" fontId="2" numFmtId="0" xfId="0" applyBorder="1" applyFill="1" applyFont="1"/>
    <xf borderId="0" fillId="0" fontId="3" numFmtId="0" xfId="0" applyFont="1"/>
    <xf borderId="0" fillId="0" fontId="4" numFmtId="0" xfId="0" applyAlignment="1" applyFont="1">
      <alignment readingOrder="0"/>
    </xf>
    <xf borderId="2" fillId="0" fontId="2" numFmtId="0" xfId="0" applyBorder="1" applyFont="1"/>
    <xf borderId="2" fillId="0" fontId="2" numFmtId="9" xfId="0" applyBorder="1" applyFont="1" applyNumberFormat="1"/>
    <xf borderId="2" fillId="0" fontId="2" numFmtId="164" xfId="0" applyBorder="1" applyFont="1" applyNumberFormat="1"/>
    <xf borderId="2" fillId="3" fontId="5" numFmtId="0" xfId="0" applyAlignment="1" applyBorder="1" applyFill="1" applyFont="1">
      <alignment readingOrder="0"/>
    </xf>
    <xf borderId="2" fillId="3" fontId="5" numFmtId="164" xfId="0" applyBorder="1" applyFont="1" applyNumberFormat="1"/>
    <xf borderId="2" fillId="2" fontId="5" numFmtId="164" xfId="0" applyBorder="1" applyFont="1" applyNumberFormat="1"/>
    <xf borderId="2" fillId="3" fontId="6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6" width="8.63"/>
  </cols>
  <sheetData>
    <row r="1">
      <c r="A1" s="1" t="s">
        <v>0</v>
      </c>
      <c r="D1" s="1" t="s">
        <v>1</v>
      </c>
      <c r="H1" s="1" t="s">
        <v>2</v>
      </c>
      <c r="I1" s="1">
        <f>2.071*10000</f>
        <v>20710</v>
      </c>
    </row>
    <row r="2">
      <c r="A2" s="1" t="s">
        <v>3</v>
      </c>
      <c r="B2" s="2">
        <v>0.07</v>
      </c>
      <c r="D2" s="1" t="s">
        <v>3</v>
      </c>
      <c r="E2" s="2">
        <v>0.07</v>
      </c>
      <c r="H2" s="1" t="s">
        <v>4</v>
      </c>
      <c r="I2" s="2">
        <v>0.07</v>
      </c>
    </row>
    <row r="3">
      <c r="A3" s="1" t="s">
        <v>5</v>
      </c>
      <c r="B3" s="1">
        <v>3.0</v>
      </c>
      <c r="D3" s="1" t="s">
        <v>5</v>
      </c>
      <c r="E3" s="1">
        <v>5.0</v>
      </c>
      <c r="H3" s="1" t="s">
        <v>6</v>
      </c>
      <c r="I3" s="1">
        <v>30.0</v>
      </c>
    </row>
    <row r="4">
      <c r="A4" s="1" t="s">
        <v>7</v>
      </c>
      <c r="B4" s="1">
        <v>1.01</v>
      </c>
      <c r="D4" s="1" t="s">
        <v>7</v>
      </c>
      <c r="E4" s="1">
        <v>0.017</v>
      </c>
      <c r="H4" s="1" t="s">
        <v>8</v>
      </c>
      <c r="I4" s="1">
        <f>((1+I2)^I3 -1)/(I2*(1+I2)^I3)</f>
        <v>12.40904118</v>
      </c>
    </row>
    <row r="5">
      <c r="A5" s="1" t="s">
        <v>9</v>
      </c>
      <c r="D5" s="1" t="s">
        <v>9</v>
      </c>
    </row>
    <row r="6">
      <c r="A6" s="1">
        <f>B4*(1+B2)^B3</f>
        <v>1.23729343</v>
      </c>
      <c r="D6" s="1">
        <f>E4*(1+E2)^E3</f>
        <v>0.02384337942</v>
      </c>
    </row>
    <row r="8">
      <c r="A8" s="1" t="s">
        <v>10</v>
      </c>
      <c r="D8" s="1" t="s">
        <v>11</v>
      </c>
    </row>
    <row r="9">
      <c r="A9" s="1" t="s">
        <v>3</v>
      </c>
      <c r="B9" s="2">
        <v>0.07</v>
      </c>
      <c r="D9" s="1" t="s">
        <v>3</v>
      </c>
      <c r="E9" s="2">
        <v>0.07</v>
      </c>
    </row>
    <row r="10">
      <c r="A10" s="1" t="s">
        <v>5</v>
      </c>
      <c r="B10" s="1">
        <v>33.0</v>
      </c>
      <c r="D10" s="1" t="s">
        <v>5</v>
      </c>
      <c r="E10" s="1">
        <v>35.0</v>
      </c>
    </row>
    <row r="11">
      <c r="A11" s="1" t="s">
        <v>7</v>
      </c>
      <c r="B11" s="1">
        <v>1.01</v>
      </c>
      <c r="D11" s="1" t="s">
        <v>7</v>
      </c>
      <c r="E11" s="1">
        <v>0.017</v>
      </c>
    </row>
    <row r="12">
      <c r="A12" s="1" t="s">
        <v>9</v>
      </c>
      <c r="D12" s="1" t="s">
        <v>9</v>
      </c>
    </row>
    <row r="13">
      <c r="A13" s="1">
        <f>B11*(1+B9)^B10</f>
        <v>9.418593152</v>
      </c>
      <c r="D13" s="1">
        <f>E11*(1+E9)^E10</f>
        <v>0.1815018852</v>
      </c>
    </row>
    <row r="16">
      <c r="A16" s="1" t="s">
        <v>12</v>
      </c>
    </row>
    <row r="17">
      <c r="A17" s="1" t="s">
        <v>13</v>
      </c>
      <c r="B17" s="1">
        <f>-A6*10000</f>
        <v>-12372.9343</v>
      </c>
    </row>
    <row r="18">
      <c r="A18" s="1" t="s">
        <v>14</v>
      </c>
      <c r="B18" s="1">
        <f>-D6*10000*I4</f>
        <v>-2958.734772</v>
      </c>
    </row>
    <row r="19">
      <c r="A19" s="3" t="s">
        <v>12</v>
      </c>
      <c r="B19" s="3">
        <f>B17+B18</f>
        <v>-15331.66907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0.13"/>
    <col customWidth="1" min="3" max="26" width="8.63"/>
  </cols>
  <sheetData>
    <row r="1">
      <c r="A1" s="1" t="s">
        <v>15</v>
      </c>
      <c r="D1" s="1" t="s">
        <v>16</v>
      </c>
      <c r="H1" s="1" t="s">
        <v>2</v>
      </c>
      <c r="I1" s="1">
        <f>2.071*10000</f>
        <v>20710</v>
      </c>
    </row>
    <row r="2">
      <c r="A2" s="1" t="s">
        <v>3</v>
      </c>
      <c r="B2" s="2">
        <v>0.07</v>
      </c>
      <c r="D2" s="1" t="s">
        <v>3</v>
      </c>
      <c r="E2" s="2">
        <v>0.07</v>
      </c>
      <c r="H2" s="1" t="s">
        <v>4</v>
      </c>
      <c r="I2" s="2">
        <v>0.07</v>
      </c>
    </row>
    <row r="3">
      <c r="A3" s="1" t="s">
        <v>5</v>
      </c>
      <c r="B3" s="1">
        <v>3.0</v>
      </c>
      <c r="D3" s="1" t="s">
        <v>5</v>
      </c>
      <c r="E3" s="1">
        <v>5.0</v>
      </c>
      <c r="H3" s="1" t="s">
        <v>6</v>
      </c>
      <c r="I3" s="1">
        <v>30.0</v>
      </c>
    </row>
    <row r="4">
      <c r="A4" s="1" t="s">
        <v>7</v>
      </c>
      <c r="B4" s="1">
        <v>1.501</v>
      </c>
      <c r="D4" s="1" t="s">
        <v>7</v>
      </c>
      <c r="E4" s="1">
        <v>0.04</v>
      </c>
      <c r="H4" s="1" t="s">
        <v>8</v>
      </c>
      <c r="I4" s="1">
        <f>((1+I2)^I3 -1)/(I2*(1+I2)^I3)</f>
        <v>12.40904118</v>
      </c>
    </row>
    <row r="5">
      <c r="A5" s="1" t="s">
        <v>9</v>
      </c>
      <c r="D5" s="1" t="s">
        <v>9</v>
      </c>
    </row>
    <row r="6">
      <c r="A6" s="1">
        <f>B4*(1+B2)^B3</f>
        <v>1.838789543</v>
      </c>
      <c r="D6" s="1">
        <f>E4*(1+E2)^E3</f>
        <v>0.05610206923</v>
      </c>
    </row>
    <row r="8">
      <c r="A8" s="1" t="s">
        <v>17</v>
      </c>
      <c r="D8" s="1" t="s">
        <v>18</v>
      </c>
    </row>
    <row r="9">
      <c r="A9" s="1" t="s">
        <v>3</v>
      </c>
      <c r="B9" s="2">
        <v>0.07</v>
      </c>
      <c r="D9" s="1" t="s">
        <v>3</v>
      </c>
      <c r="E9" s="2">
        <v>0.07</v>
      </c>
    </row>
    <row r="10">
      <c r="A10" s="1" t="s">
        <v>5</v>
      </c>
      <c r="B10" s="1">
        <f>B3+30</f>
        <v>33</v>
      </c>
      <c r="D10" s="1" t="s">
        <v>5</v>
      </c>
      <c r="E10" s="1">
        <f>E3+30</f>
        <v>35</v>
      </c>
    </row>
    <row r="11">
      <c r="A11" s="1" t="s">
        <v>7</v>
      </c>
      <c r="B11" s="1">
        <f>B4</f>
        <v>1.501</v>
      </c>
      <c r="D11" s="1" t="s">
        <v>7</v>
      </c>
      <c r="E11" s="1">
        <f>E4</f>
        <v>0.04</v>
      </c>
    </row>
    <row r="12">
      <c r="A12" s="1" t="s">
        <v>9</v>
      </c>
      <c r="D12" s="1" t="s">
        <v>9</v>
      </c>
    </row>
    <row r="13">
      <c r="A13" s="1">
        <f>B11*(1+B9)^B10</f>
        <v>13.99733497</v>
      </c>
      <c r="D13" s="1">
        <f>E11*(1+E9)^E10</f>
        <v>0.4270632594</v>
      </c>
    </row>
    <row r="16">
      <c r="A16" s="1" t="s">
        <v>12</v>
      </c>
    </row>
    <row r="17">
      <c r="A17" s="1" t="s">
        <v>13</v>
      </c>
      <c r="B17" s="1">
        <f>-A6*10000</f>
        <v>-18387.89543</v>
      </c>
    </row>
    <row r="18">
      <c r="A18" s="1" t="s">
        <v>14</v>
      </c>
      <c r="B18" s="1">
        <f>-D6*10000*I4</f>
        <v>-6961.728875</v>
      </c>
    </row>
    <row r="19">
      <c r="A19" s="3" t="s">
        <v>12</v>
      </c>
      <c r="B19" s="3">
        <f>B17+B18</f>
        <v>-25349.62431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3.13"/>
    <col customWidth="1" min="3" max="26" width="8.63"/>
  </cols>
  <sheetData>
    <row r="1">
      <c r="A1" s="1" t="s">
        <v>19</v>
      </c>
      <c r="D1" s="1" t="s">
        <v>20</v>
      </c>
      <c r="H1" s="1" t="s">
        <v>2</v>
      </c>
      <c r="I1" s="1">
        <f>2.071*10000</f>
        <v>20710</v>
      </c>
    </row>
    <row r="2">
      <c r="A2" s="1" t="s">
        <v>3</v>
      </c>
      <c r="B2" s="2">
        <v>0.07</v>
      </c>
      <c r="D2" s="1" t="s">
        <v>3</v>
      </c>
      <c r="E2" s="2">
        <v>0.07</v>
      </c>
      <c r="H2" s="1" t="s">
        <v>4</v>
      </c>
      <c r="I2" s="2">
        <v>0.07</v>
      </c>
    </row>
    <row r="3">
      <c r="A3" s="1" t="s">
        <v>5</v>
      </c>
      <c r="B3" s="1">
        <v>3.0</v>
      </c>
      <c r="D3" s="1" t="s">
        <v>5</v>
      </c>
      <c r="E3" s="1">
        <v>3.0</v>
      </c>
      <c r="H3" s="1" t="s">
        <v>6</v>
      </c>
      <c r="I3" s="1">
        <v>30.0</v>
      </c>
    </row>
    <row r="4">
      <c r="A4" s="1" t="s">
        <v>7</v>
      </c>
      <c r="B4" s="1">
        <v>3.871</v>
      </c>
      <c r="D4" s="1" t="s">
        <v>7</v>
      </c>
      <c r="E4" s="1">
        <v>0.111</v>
      </c>
      <c r="H4" s="1" t="s">
        <v>8</v>
      </c>
      <c r="I4" s="1">
        <f>((1+I2)^I3 -1)/(I2*(1+I2)^I3)</f>
        <v>12.40904118</v>
      </c>
    </row>
    <row r="5">
      <c r="A5" s="1" t="s">
        <v>9</v>
      </c>
      <c r="D5" s="1" t="s">
        <v>9</v>
      </c>
    </row>
    <row r="6">
      <c r="A6" s="1">
        <f>B4*(1+B2)^B3</f>
        <v>4.742141453</v>
      </c>
      <c r="D6" s="1">
        <f>E4*(1+E2)^E3</f>
        <v>0.135979773</v>
      </c>
    </row>
    <row r="8">
      <c r="A8" s="1" t="s">
        <v>21</v>
      </c>
      <c r="D8" s="1" t="s">
        <v>22</v>
      </c>
    </row>
    <row r="9">
      <c r="A9" s="1" t="s">
        <v>3</v>
      </c>
      <c r="B9" s="2">
        <v>0.07</v>
      </c>
      <c r="D9" s="1" t="s">
        <v>3</v>
      </c>
      <c r="E9" s="2">
        <v>0.07</v>
      </c>
    </row>
    <row r="10">
      <c r="A10" s="1" t="s">
        <v>5</v>
      </c>
      <c r="B10" s="1">
        <f>B3+30</f>
        <v>33</v>
      </c>
      <c r="D10" s="1" t="s">
        <v>5</v>
      </c>
      <c r="E10" s="1">
        <f>E3+30</f>
        <v>33</v>
      </c>
    </row>
    <row r="11">
      <c r="A11" s="1" t="s">
        <v>7</v>
      </c>
      <c r="B11" s="1">
        <f>B4</f>
        <v>3.871</v>
      </c>
      <c r="D11" s="1" t="s">
        <v>7</v>
      </c>
      <c r="E11" s="1">
        <f>E4</f>
        <v>0.111</v>
      </c>
    </row>
    <row r="12">
      <c r="A12" s="1" t="s">
        <v>9</v>
      </c>
      <c r="D12" s="1" t="s">
        <v>9</v>
      </c>
    </row>
    <row r="13">
      <c r="A13" s="1">
        <f>B11*(1+B9)^B10</f>
        <v>36.09839019</v>
      </c>
      <c r="D13" s="1">
        <f>E11*(1+E9)^E10</f>
        <v>1.035112713</v>
      </c>
    </row>
    <row r="16">
      <c r="A16" s="1" t="s">
        <v>12</v>
      </c>
    </row>
    <row r="17">
      <c r="A17" s="1" t="s">
        <v>13</v>
      </c>
      <c r="B17" s="1">
        <f>-A6*10000</f>
        <v>-47421.41453</v>
      </c>
    </row>
    <row r="18">
      <c r="A18" s="1" t="s">
        <v>14</v>
      </c>
      <c r="B18" s="1">
        <f>-D6*10000*I4</f>
        <v>-16873.78603</v>
      </c>
    </row>
    <row r="19">
      <c r="A19" s="3" t="s">
        <v>12</v>
      </c>
      <c r="B19" s="3">
        <f>B17+B18</f>
        <v>-64295.20056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2.88"/>
    <col customWidth="1" min="3" max="26" width="8.63"/>
  </cols>
  <sheetData>
    <row r="1">
      <c r="A1" s="1" t="s">
        <v>23</v>
      </c>
      <c r="D1" s="1" t="s">
        <v>24</v>
      </c>
      <c r="H1" s="1" t="s">
        <v>2</v>
      </c>
      <c r="I1" s="1">
        <f>2.071*10000</f>
        <v>20710</v>
      </c>
    </row>
    <row r="2">
      <c r="A2" s="1" t="s">
        <v>3</v>
      </c>
      <c r="B2" s="2">
        <v>0.07</v>
      </c>
      <c r="D2" s="1" t="s">
        <v>3</v>
      </c>
      <c r="E2" s="2">
        <v>0.07</v>
      </c>
      <c r="H2" s="1" t="s">
        <v>4</v>
      </c>
      <c r="I2" s="2">
        <v>0.07</v>
      </c>
    </row>
    <row r="3">
      <c r="A3" s="1" t="s">
        <v>5</v>
      </c>
      <c r="B3" s="1">
        <v>3.0</v>
      </c>
      <c r="D3" s="1" t="s">
        <v>5</v>
      </c>
      <c r="E3" s="1">
        <v>3.0</v>
      </c>
      <c r="H3" s="1" t="s">
        <v>6</v>
      </c>
      <c r="I3" s="1">
        <v>30.0</v>
      </c>
    </row>
    <row r="4">
      <c r="A4" s="1" t="s">
        <v>7</v>
      </c>
      <c r="B4" s="1">
        <v>5.577</v>
      </c>
      <c r="D4" s="1" t="s">
        <v>7</v>
      </c>
      <c r="E4" s="1">
        <v>0.118</v>
      </c>
      <c r="H4" s="1" t="s">
        <v>8</v>
      </c>
      <c r="I4" s="1">
        <f>((1+I2)^I3 -1)/(I2*(1+I2)^I3)</f>
        <v>12.40904118</v>
      </c>
    </row>
    <row r="5">
      <c r="A5" s="1" t="s">
        <v>9</v>
      </c>
      <c r="D5" s="1" t="s">
        <v>9</v>
      </c>
    </row>
    <row r="6">
      <c r="A6" s="1">
        <f>B4*(1+B2)^B3</f>
        <v>6.832064811</v>
      </c>
      <c r="D6" s="1">
        <f>E4*(1+E2)^E3</f>
        <v>0.144555074</v>
      </c>
    </row>
    <row r="8">
      <c r="A8" s="1" t="s">
        <v>25</v>
      </c>
      <c r="D8" s="1" t="s">
        <v>26</v>
      </c>
    </row>
    <row r="9">
      <c r="A9" s="1" t="s">
        <v>3</v>
      </c>
      <c r="B9" s="2">
        <v>0.07</v>
      </c>
      <c r="D9" s="1" t="s">
        <v>3</v>
      </c>
      <c r="E9" s="2">
        <v>0.07</v>
      </c>
    </row>
    <row r="10">
      <c r="A10" s="1" t="s">
        <v>5</v>
      </c>
      <c r="B10" s="1">
        <f>B3+30</f>
        <v>33</v>
      </c>
      <c r="D10" s="1" t="s">
        <v>5</v>
      </c>
      <c r="E10" s="1">
        <f>E3+30</f>
        <v>33</v>
      </c>
    </row>
    <row r="11">
      <c r="A11" s="1" t="s">
        <v>7</v>
      </c>
      <c r="B11" s="1">
        <f>B4</f>
        <v>5.577</v>
      </c>
      <c r="D11" s="1" t="s">
        <v>7</v>
      </c>
      <c r="E11" s="1">
        <f>E4</f>
        <v>0.118</v>
      </c>
    </row>
    <row r="12">
      <c r="A12" s="1" t="s">
        <v>9</v>
      </c>
      <c r="D12" s="1" t="s">
        <v>9</v>
      </c>
    </row>
    <row r="13">
      <c r="A13" s="1">
        <f>B11*(1+B9)^B10</f>
        <v>52.00741981</v>
      </c>
      <c r="D13" s="1">
        <f>E11*(1+E9)^E10</f>
        <v>1.100390091</v>
      </c>
    </row>
    <row r="16">
      <c r="A16" s="1" t="s">
        <v>12</v>
      </c>
    </row>
    <row r="17">
      <c r="A17" s="1" t="s">
        <v>13</v>
      </c>
      <c r="B17" s="1">
        <f>-A6*10000</f>
        <v>-68320.64811</v>
      </c>
    </row>
    <row r="18">
      <c r="A18" s="1" t="s">
        <v>14</v>
      </c>
      <c r="B18" s="1">
        <f>-D6*10000*I4</f>
        <v>-17937.89867</v>
      </c>
    </row>
    <row r="19">
      <c r="A19" s="3" t="s">
        <v>12</v>
      </c>
      <c r="B19" s="3">
        <f>B17+B18</f>
        <v>-86258.54678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38"/>
    <col customWidth="1" min="3" max="13" width="11.38"/>
    <col customWidth="1" min="14" max="26" width="8.63"/>
  </cols>
  <sheetData>
    <row r="2">
      <c r="C2" s="1" t="s">
        <v>27</v>
      </c>
      <c r="D2" s="4">
        <v>10000.0</v>
      </c>
      <c r="E2" s="5" t="s">
        <v>28</v>
      </c>
    </row>
    <row r="4">
      <c r="B4" s="6" t="s">
        <v>29</v>
      </c>
      <c r="C4" s="7">
        <v>0.0</v>
      </c>
      <c r="D4" s="7">
        <v>0.1</v>
      </c>
      <c r="E4" s="7">
        <v>0.2</v>
      </c>
      <c r="F4" s="7">
        <v>0.3</v>
      </c>
      <c r="G4" s="7">
        <v>0.4</v>
      </c>
      <c r="H4" s="7">
        <v>0.5</v>
      </c>
      <c r="I4" s="7">
        <v>0.6</v>
      </c>
      <c r="J4" s="7">
        <v>0.7</v>
      </c>
      <c r="K4" s="7">
        <v>0.8</v>
      </c>
      <c r="L4" s="7">
        <v>0.9</v>
      </c>
      <c r="M4" s="7">
        <v>1.0</v>
      </c>
      <c r="N4" s="2"/>
      <c r="O4" s="2"/>
    </row>
    <row r="5">
      <c r="B5" s="6" t="s">
        <v>30</v>
      </c>
      <c r="C5" s="7">
        <v>1.0</v>
      </c>
      <c r="D5" s="7">
        <v>0.9</v>
      </c>
      <c r="E5" s="7">
        <v>0.8</v>
      </c>
      <c r="F5" s="7">
        <v>0.7</v>
      </c>
      <c r="G5" s="7">
        <v>0.6</v>
      </c>
      <c r="H5" s="7">
        <v>0.5</v>
      </c>
      <c r="I5" s="7">
        <v>0.4</v>
      </c>
      <c r="J5" s="7">
        <v>0.3</v>
      </c>
      <c r="K5" s="7">
        <v>0.2</v>
      </c>
      <c r="L5" s="7">
        <v>0.1</v>
      </c>
      <c r="M5" s="7">
        <v>0.0</v>
      </c>
      <c r="N5" s="2"/>
      <c r="O5" s="2"/>
    </row>
    <row r="6">
      <c r="B6" s="6" t="s">
        <v>31</v>
      </c>
      <c r="C6" s="8">
        <f t="shared" ref="C6:M6" si="1">-C4*$D$2*$D$15-C4*$D$2*$D$16*$D$17</f>
        <v>0</v>
      </c>
      <c r="D6" s="8">
        <f t="shared" si="1"/>
        <v>-1537.816</v>
      </c>
      <c r="E6" s="8">
        <f t="shared" si="1"/>
        <v>-3075.632</v>
      </c>
      <c r="F6" s="8">
        <f t="shared" si="1"/>
        <v>-4613.448</v>
      </c>
      <c r="G6" s="8">
        <f t="shared" si="1"/>
        <v>-6151.264</v>
      </c>
      <c r="H6" s="8">
        <f t="shared" si="1"/>
        <v>-7689.08</v>
      </c>
      <c r="I6" s="8">
        <f t="shared" si="1"/>
        <v>-9226.896</v>
      </c>
      <c r="J6" s="8">
        <f t="shared" si="1"/>
        <v>-10764.712</v>
      </c>
      <c r="K6" s="8">
        <f t="shared" si="1"/>
        <v>-12302.528</v>
      </c>
      <c r="L6" s="8">
        <f t="shared" si="1"/>
        <v>-13840.344</v>
      </c>
      <c r="M6" s="8">
        <f t="shared" si="1"/>
        <v>-15378.16</v>
      </c>
    </row>
    <row r="7">
      <c r="B7" s="6" t="s">
        <v>32</v>
      </c>
      <c r="C7" s="8">
        <f t="shared" ref="C7:M7" si="2">-C5*$D$2*$G$15-C5*$D$2*$G$16*$G$17</f>
        <v>-25339.04</v>
      </c>
      <c r="D7" s="8">
        <f t="shared" si="2"/>
        <v>-22805.136</v>
      </c>
      <c r="E7" s="8">
        <f t="shared" si="2"/>
        <v>-20271.232</v>
      </c>
      <c r="F7" s="8">
        <f t="shared" si="2"/>
        <v>-17737.328</v>
      </c>
      <c r="G7" s="8">
        <f t="shared" si="2"/>
        <v>-15203.424</v>
      </c>
      <c r="H7" s="8">
        <f t="shared" si="2"/>
        <v>-12669.52</v>
      </c>
      <c r="I7" s="8">
        <f t="shared" si="2"/>
        <v>-10135.616</v>
      </c>
      <c r="J7" s="8">
        <f t="shared" si="2"/>
        <v>-7601.712</v>
      </c>
      <c r="K7" s="8">
        <f t="shared" si="2"/>
        <v>-5067.808</v>
      </c>
      <c r="L7" s="8">
        <f t="shared" si="2"/>
        <v>-2533.904</v>
      </c>
      <c r="M7" s="8">
        <f t="shared" si="2"/>
        <v>0</v>
      </c>
    </row>
    <row r="8">
      <c r="B8" s="9" t="s">
        <v>33</v>
      </c>
      <c r="C8" s="10">
        <f t="shared" ref="C8:M8" si="3">SUM(C6:C7)</f>
        <v>-25339.04</v>
      </c>
      <c r="D8" s="10">
        <f t="shared" si="3"/>
        <v>-24342.952</v>
      </c>
      <c r="E8" s="10">
        <f t="shared" si="3"/>
        <v>-23346.864</v>
      </c>
      <c r="F8" s="10">
        <f t="shared" si="3"/>
        <v>-22350.776</v>
      </c>
      <c r="G8" s="10">
        <f t="shared" si="3"/>
        <v>-21354.688</v>
      </c>
      <c r="H8" s="10">
        <f t="shared" si="3"/>
        <v>-20358.6</v>
      </c>
      <c r="I8" s="10">
        <f t="shared" si="3"/>
        <v>-19362.512</v>
      </c>
      <c r="J8" s="10">
        <f t="shared" si="3"/>
        <v>-18366.424</v>
      </c>
      <c r="K8" s="10">
        <f t="shared" si="3"/>
        <v>-17370.336</v>
      </c>
      <c r="L8" s="10">
        <f t="shared" si="3"/>
        <v>-16374.248</v>
      </c>
      <c r="M8" s="11">
        <f t="shared" si="3"/>
        <v>-15378.16</v>
      </c>
    </row>
    <row r="9">
      <c r="B9" s="12" t="s">
        <v>34</v>
      </c>
      <c r="C9" s="10">
        <f t="shared" ref="C9:M9" si="4">C8/1000</f>
        <v>-25.33904</v>
      </c>
      <c r="D9" s="10">
        <f t="shared" si="4"/>
        <v>-24.342952</v>
      </c>
      <c r="E9" s="10">
        <f t="shared" si="4"/>
        <v>-23.346864</v>
      </c>
      <c r="F9" s="10">
        <f t="shared" si="4"/>
        <v>-22.350776</v>
      </c>
      <c r="G9" s="10">
        <f t="shared" si="4"/>
        <v>-21.354688</v>
      </c>
      <c r="H9" s="10">
        <f t="shared" si="4"/>
        <v>-20.3586</v>
      </c>
      <c r="I9" s="10">
        <f t="shared" si="4"/>
        <v>-19.362512</v>
      </c>
      <c r="J9" s="10">
        <f t="shared" si="4"/>
        <v>-18.366424</v>
      </c>
      <c r="K9" s="10">
        <f t="shared" si="4"/>
        <v>-17.370336</v>
      </c>
      <c r="L9" s="10">
        <f t="shared" si="4"/>
        <v>-16.374248</v>
      </c>
      <c r="M9" s="11">
        <f t="shared" si="4"/>
        <v>-15.37816</v>
      </c>
    </row>
    <row r="14">
      <c r="C14" s="13" t="s">
        <v>35</v>
      </c>
      <c r="F14" s="13" t="s">
        <v>36</v>
      </c>
    </row>
    <row r="15">
      <c r="C15" s="14" t="s">
        <v>37</v>
      </c>
      <c r="D15" s="1">
        <v>1.24</v>
      </c>
      <c r="F15" s="14" t="s">
        <v>37</v>
      </c>
      <c r="G15" s="1">
        <v>1.839</v>
      </c>
    </row>
    <row r="16">
      <c r="C16" s="14" t="s">
        <v>38</v>
      </c>
      <c r="D16" s="1">
        <v>0.024</v>
      </c>
      <c r="F16" s="14" t="s">
        <v>38</v>
      </c>
      <c r="G16" s="1">
        <v>0.056</v>
      </c>
    </row>
    <row r="17">
      <c r="C17" s="14" t="s">
        <v>8</v>
      </c>
      <c r="D17" s="1">
        <v>12.409</v>
      </c>
      <c r="F17" s="14" t="s">
        <v>8</v>
      </c>
      <c r="G17" s="1">
        <v>12.409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4:D14"/>
    <mergeCell ref="F14:G1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2024-06-04T00:40:39Z</dcterms:created>
  <dc:creator>Fabino, Lou</dc:creator>
</cp:coreProperties>
</file>